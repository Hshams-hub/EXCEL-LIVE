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82f3c5b218e2d3b/Desktop/"/>
    </mc:Choice>
  </mc:AlternateContent>
  <xr:revisionPtr revIDLastSave="0" documentId="8_{9B7C16AB-4BAF-4248-93C6-56D4B39BC9CB}" xr6:coauthVersionLast="47" xr6:coauthVersionMax="47" xr10:uidLastSave="{00000000-0000-0000-0000-000000000000}"/>
  <bookViews>
    <workbookView xWindow="-108" yWindow="-108" windowWidth="23256" windowHeight="12456" xr2:uid="{3EAD6AFF-E84B-4FE5-AC98-08550F68E4A0}"/>
  </bookViews>
  <sheets>
    <sheet name="Sheet1" sheetId="1" r:id="rId1"/>
  </sheets>
  <calcPr calcId="191029" iterateCount="2" iterateDelta="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1" i="1" l="1"/>
  <c r="F62" i="1"/>
  <c r="E54" i="1"/>
  <c r="E51" i="1"/>
  <c r="E50" i="1"/>
  <c r="E52" i="1"/>
  <c r="E53" i="1"/>
  <c r="E41" i="1"/>
  <c r="E33" i="1"/>
  <c r="E32" i="1"/>
  <c r="D26" i="1"/>
  <c r="D27" i="1" s="1"/>
  <c r="D25" i="1"/>
  <c r="D24" i="1"/>
  <c r="D23" i="1"/>
  <c r="E14" i="1"/>
  <c r="E16" i="1"/>
  <c r="D4" i="1"/>
  <c r="D5" i="1"/>
  <c r="D6" i="1"/>
  <c r="D7" i="1"/>
  <c r="D8" i="1"/>
</calcChain>
</file>

<file path=xl/sharedStrings.xml><?xml version="1.0" encoding="utf-8"?>
<sst xmlns="http://schemas.openxmlformats.org/spreadsheetml/2006/main" count="92" uniqueCount="54">
  <si>
    <t>STUDENT NAMES</t>
  </si>
  <si>
    <t>MARKS</t>
  </si>
  <si>
    <t>ANSWER</t>
  </si>
  <si>
    <t>AKASH</t>
  </si>
  <si>
    <t>ARJUN</t>
  </si>
  <si>
    <t>ANJU</t>
  </si>
  <si>
    <t>ANSH</t>
  </si>
  <si>
    <t>DIPA</t>
  </si>
  <si>
    <t>Question 1: Pass/Fail Formula</t>
  </si>
  <si>
    <t>Question 2: Bonus Calculation Formula</t>
  </si>
  <si>
    <t>EMPLOYEE</t>
  </si>
  <si>
    <t>SALES</t>
  </si>
  <si>
    <t>ATTENDANCE</t>
  </si>
  <si>
    <t>ANUJ</t>
  </si>
  <si>
    <t>No Bonus</t>
  </si>
  <si>
    <t>Question 3: Nested IF Formula for Grades</t>
  </si>
  <si>
    <t>MARK</t>
  </si>
  <si>
    <t>Question 4: Find Department using LOOKUP</t>
  </si>
  <si>
    <t>NAMES</t>
  </si>
  <si>
    <t>EMP ID</t>
  </si>
  <si>
    <t>DEPARTMENT</t>
  </si>
  <si>
    <t>LOOKUPVALUE</t>
  </si>
  <si>
    <t>E101</t>
  </si>
  <si>
    <t>IT</t>
  </si>
  <si>
    <t>E103</t>
  </si>
  <si>
    <t>E102</t>
  </si>
  <si>
    <t>HR</t>
  </si>
  <si>
    <t>FINANCE</t>
  </si>
  <si>
    <t>E104</t>
  </si>
  <si>
    <t>OPERATIONS</t>
  </si>
  <si>
    <t>Question 5: VLOOKUP for Commission Rate</t>
  </si>
  <si>
    <t>SALES AMOUNT</t>
  </si>
  <si>
    <t>COMMISSION RATE</t>
  </si>
  <si>
    <t>COMMISSIONRATE</t>
  </si>
  <si>
    <t>Question 6: Check Leave Balance</t>
  </si>
  <si>
    <t>EMPLOYEE NAME</t>
  </si>
  <si>
    <t>LEAVE TAKEN</t>
  </si>
  <si>
    <t>LEAVESALLOWED</t>
  </si>
  <si>
    <t>REMARK</t>
  </si>
  <si>
    <t>AJAY</t>
  </si>
  <si>
    <t>BIJAY</t>
  </si>
  <si>
    <t>CHUTKI</t>
  </si>
  <si>
    <t>DAMONDAR</t>
  </si>
  <si>
    <t>EMAN</t>
  </si>
  <si>
    <t>Question 7: INDEX-MATCH Function for Salary</t>
  </si>
  <si>
    <t>Find the salary ofEmpID =E105 using INDEX-MATCH Function.</t>
  </si>
  <si>
    <t>SALARY</t>
  </si>
  <si>
    <t>SALARY OF E105</t>
  </si>
  <si>
    <t>Question 8: VLOOKUP Function for Department</t>
  </si>
  <si>
    <t>EMP ID </t>
  </si>
  <si>
    <t>E107</t>
  </si>
  <si>
    <t>E303</t>
  </si>
  <si>
    <t>E108</t>
  </si>
  <si>
    <t>E311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</si>
</sst>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9"/>
      <color rgb="FF000000"/>
      <name val="Times New Roman"/>
      <family val="1"/>
    </font>
    <font>
      <sz val="10"/>
      <color rgb="FF000000"/>
      <name val="Times New Roman"/>
      <family val="1"/>
    </font>
    <font>
      <sz val="13"/>
      <color rgb="FF000000"/>
      <name val="Times New Roman"/>
      <family val="1"/>
    </font>
    <font>
      <sz val="13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3"/>
      <color rgb="FF000000"/>
      <name val="Times New Roman"/>
      <family val="1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0" borderId="0" xfId="0" applyFont="1"/>
    <xf numFmtId="0" fontId="0" fillId="0" borderId="2" xfId="0" applyBorder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0" xfId="0" applyAlignment="1">
      <alignment horizontal="left"/>
    </xf>
    <xf numFmtId="0" fontId="1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9" fontId="1" fillId="0" borderId="3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6" fillId="0" borderId="0" xfId="0" applyFont="1"/>
    <xf numFmtId="0" fontId="4" fillId="0" borderId="1" xfId="0" applyFont="1" applyBorder="1" applyAlignment="1">
      <alignment vertical="center" wrapText="1"/>
    </xf>
    <xf numFmtId="9" fontId="4" fillId="0" borderId="1" xfId="0" applyNumberFormat="1" applyFont="1" applyBorder="1" applyAlignment="1">
      <alignment horizontal="center" vertical="center" wrapText="1"/>
    </xf>
    <xf numFmtId="10" fontId="4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center" wrapText="1"/>
    </xf>
    <xf numFmtId="0" fontId="8" fillId="0" borderId="0" xfId="0" applyFont="1" applyAlignment="1">
      <alignment vertical="center"/>
    </xf>
    <xf numFmtId="0" fontId="9" fillId="0" borderId="0" xfId="0" applyFont="1"/>
    <xf numFmtId="0" fontId="9" fillId="0" borderId="0" xfId="0" applyFont="1" applyAlignment="1">
      <alignment horizontal="left" vertical="center"/>
    </xf>
    <xf numFmtId="0" fontId="9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vertical="top"/>
    </xf>
    <xf numFmtId="0" fontId="7" fillId="0" borderId="0" xfId="0" applyFont="1"/>
    <xf numFmtId="0" fontId="1" fillId="0" borderId="3" xfId="0" applyFont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62416-A653-4C60-A329-EB9A0E1E9151}">
  <dimension ref="B1:F74"/>
  <sheetViews>
    <sheetView tabSelected="1" workbookViewId="0">
      <selection activeCell="D5" sqref="D5"/>
    </sheetView>
  </sheetViews>
  <sheetFormatPr defaultRowHeight="14.4" x14ac:dyDescent="0.3"/>
  <cols>
    <col min="2" max="2" width="19.5546875" customWidth="1"/>
    <col min="3" max="3" width="16.109375" customWidth="1"/>
    <col min="4" max="4" width="16.88671875" customWidth="1"/>
    <col min="5" max="5" width="18" customWidth="1"/>
    <col min="6" max="6" width="17.109375" customWidth="1"/>
  </cols>
  <sheetData>
    <row r="1" spans="2:6" ht="15.6" x14ac:dyDescent="0.3">
      <c r="B1" s="4" t="s">
        <v>8</v>
      </c>
    </row>
    <row r="2" spans="2:6" ht="15" thickBot="1" x14ac:dyDescent="0.35"/>
    <row r="3" spans="2:6" ht="16.2" thickBot="1" x14ac:dyDescent="0.35">
      <c r="B3" s="3" t="s">
        <v>0</v>
      </c>
      <c r="C3" s="37" t="s">
        <v>1</v>
      </c>
      <c r="D3" s="38" t="s">
        <v>2</v>
      </c>
      <c r="F3" s="5"/>
    </row>
    <row r="4" spans="2:6" ht="16.2" thickBot="1" x14ac:dyDescent="0.35">
      <c r="B4" s="1" t="s">
        <v>3</v>
      </c>
      <c r="C4" s="33">
        <v>65</v>
      </c>
      <c r="D4" s="36" t="str">
        <f>IF(C4&gt;40,"PASSED","FAILED")</f>
        <v>PASSED</v>
      </c>
    </row>
    <row r="5" spans="2:6" ht="16.2" thickBot="1" x14ac:dyDescent="0.35">
      <c r="B5" s="1" t="s">
        <v>4</v>
      </c>
      <c r="C5" s="33">
        <v>76</v>
      </c>
      <c r="D5" s="34" t="str">
        <f t="shared" ref="D5:D8" si="0">IF(C5&gt;40,"PASSED","FAILED")</f>
        <v>PASSED</v>
      </c>
    </row>
    <row r="6" spans="2:6" ht="16.2" thickBot="1" x14ac:dyDescent="0.35">
      <c r="B6" s="1" t="s">
        <v>5</v>
      </c>
      <c r="C6" s="33">
        <v>89</v>
      </c>
      <c r="D6" s="34" t="str">
        <f t="shared" si="0"/>
        <v>PASSED</v>
      </c>
    </row>
    <row r="7" spans="2:6" ht="16.2" thickBot="1" x14ac:dyDescent="0.35">
      <c r="B7" s="1" t="s">
        <v>6</v>
      </c>
      <c r="C7" s="33">
        <v>38</v>
      </c>
      <c r="D7" s="34" t="str">
        <f t="shared" si="0"/>
        <v>FAILED</v>
      </c>
    </row>
    <row r="8" spans="2:6" ht="16.2" thickBot="1" x14ac:dyDescent="0.35">
      <c r="B8" s="1" t="s">
        <v>7</v>
      </c>
      <c r="C8" s="33">
        <v>31</v>
      </c>
      <c r="D8" s="35" t="str">
        <f t="shared" si="0"/>
        <v>FAILED</v>
      </c>
      <c r="E8" s="8"/>
    </row>
    <row r="11" spans="2:6" ht="15.6" x14ac:dyDescent="0.3">
      <c r="B11" s="6" t="s">
        <v>9</v>
      </c>
    </row>
    <row r="12" spans="2:6" ht="15" thickBot="1" x14ac:dyDescent="0.35"/>
    <row r="13" spans="2:6" ht="16.2" thickBot="1" x14ac:dyDescent="0.35">
      <c r="B13" s="7" t="s">
        <v>10</v>
      </c>
      <c r="C13" s="7" t="s">
        <v>11</v>
      </c>
      <c r="D13" s="7" t="s">
        <v>12</v>
      </c>
      <c r="E13" s="7" t="s">
        <v>2</v>
      </c>
    </row>
    <row r="14" spans="2:6" ht="16.2" thickBot="1" x14ac:dyDescent="0.35">
      <c r="B14" s="2" t="s">
        <v>3</v>
      </c>
      <c r="C14" s="2">
        <v>65000</v>
      </c>
      <c r="D14" s="12">
        <v>0.98</v>
      </c>
      <c r="E14" s="13" t="str">
        <f>IF(AND(C14&gt;40000,C18&gt;=90%),"Bonus","No C18")</f>
        <v>Bonus</v>
      </c>
    </row>
    <row r="15" spans="2:6" ht="16.2" thickBot="1" x14ac:dyDescent="0.35">
      <c r="B15" s="2" t="s">
        <v>4</v>
      </c>
      <c r="C15" s="2">
        <v>55000</v>
      </c>
      <c r="D15" s="12">
        <v>0.63</v>
      </c>
      <c r="E15" s="14" t="s">
        <v>14</v>
      </c>
    </row>
    <row r="16" spans="2:6" ht="16.2" thickBot="1" x14ac:dyDescent="0.35">
      <c r="B16" s="2" t="s">
        <v>13</v>
      </c>
      <c r="C16" s="2">
        <v>43000</v>
      </c>
      <c r="D16" s="12">
        <v>0.9</v>
      </c>
      <c r="E16" s="14" t="str">
        <f>IF(AND(C14&gt;40000,C18&gt;=90%),"Bonus","No Bonus")</f>
        <v>Bonus</v>
      </c>
    </row>
    <row r="17" spans="2:6" ht="16.2" thickBot="1" x14ac:dyDescent="0.35">
      <c r="B17" s="2" t="s">
        <v>6</v>
      </c>
      <c r="C17" s="2">
        <v>21000</v>
      </c>
      <c r="D17" s="12">
        <v>0.65</v>
      </c>
      <c r="E17" s="14" t="s">
        <v>14</v>
      </c>
    </row>
    <row r="18" spans="2:6" ht="16.2" thickBot="1" x14ac:dyDescent="0.35">
      <c r="B18" s="2" t="s">
        <v>7</v>
      </c>
      <c r="C18" s="2">
        <v>18000</v>
      </c>
      <c r="D18" s="12">
        <v>0.24</v>
      </c>
      <c r="E18" s="15" t="s">
        <v>14</v>
      </c>
    </row>
    <row r="20" spans="2:6" ht="15.6" x14ac:dyDescent="0.3">
      <c r="B20" s="6" t="s">
        <v>15</v>
      </c>
    </row>
    <row r="21" spans="2:6" ht="15" thickBot="1" x14ac:dyDescent="0.35"/>
    <row r="22" spans="2:6" ht="31.8" thickBot="1" x14ac:dyDescent="0.35">
      <c r="B22" s="1" t="s">
        <v>0</v>
      </c>
      <c r="C22" s="1" t="s">
        <v>16</v>
      </c>
      <c r="D22" s="1" t="s">
        <v>2</v>
      </c>
    </row>
    <row r="23" spans="2:6" ht="16.2" thickBot="1" x14ac:dyDescent="0.35">
      <c r="B23" s="1" t="s">
        <v>3</v>
      </c>
      <c r="C23" s="1">
        <v>65</v>
      </c>
      <c r="D23" s="1" t="str">
        <f>IF(C23&gt;=90,"A",IF(C23&gt;=75,"B",IF(C23&gt;=50,"C","Fail")))</f>
        <v>C</v>
      </c>
    </row>
    <row r="24" spans="2:6" ht="16.2" thickBot="1" x14ac:dyDescent="0.35">
      <c r="B24" s="1" t="s">
        <v>4</v>
      </c>
      <c r="C24" s="1">
        <v>76</v>
      </c>
      <c r="D24" s="1" t="str">
        <f>IF(C24&gt;=90,"A",IF(C24&gt;=75,"B",IF(C24&gt;=50,"C","Fail")))</f>
        <v>B</v>
      </c>
    </row>
    <row r="25" spans="2:6" ht="16.2" thickBot="1" x14ac:dyDescent="0.35">
      <c r="B25" s="1" t="s">
        <v>5</v>
      </c>
      <c r="C25" s="1">
        <v>89</v>
      </c>
      <c r="D25" s="1" t="str">
        <f>IF(C25&gt;=90,"A",IF(C25&gt;=75,"B",IF(C25&gt;=50,"C","Fail")))</f>
        <v>B</v>
      </c>
    </row>
    <row r="26" spans="2:6" ht="16.2" thickBot="1" x14ac:dyDescent="0.35">
      <c r="B26" s="1" t="s">
        <v>6</v>
      </c>
      <c r="C26" s="1">
        <v>38</v>
      </c>
      <c r="D26" s="1" t="str">
        <f>IF(C26&gt;=90,"A",IF(26&gt;=75,"B",IF(C26&gt;=50,"C","Fail")))</f>
        <v>Fail</v>
      </c>
    </row>
    <row r="27" spans="2:6" ht="16.2" thickBot="1" x14ac:dyDescent="0.35">
      <c r="B27" s="1" t="s">
        <v>7</v>
      </c>
      <c r="C27" s="1">
        <v>31</v>
      </c>
      <c r="D27" s="1" t="str">
        <f>IF(C27&gt;D26=90,"A",IF(C27&gt;=75,"B",IF(C27&gt;=50,"C","Fail")))</f>
        <v>Fail</v>
      </c>
    </row>
    <row r="29" spans="2:6" ht="15.6" x14ac:dyDescent="0.3">
      <c r="B29" s="4" t="s">
        <v>17</v>
      </c>
    </row>
    <row r="30" spans="2:6" ht="15" thickBot="1" x14ac:dyDescent="0.35"/>
    <row r="31" spans="2:6" ht="31.8" thickBot="1" x14ac:dyDescent="0.35">
      <c r="B31" s="11" t="s">
        <v>18</v>
      </c>
      <c r="C31" s="16" t="s">
        <v>19</v>
      </c>
      <c r="D31" s="16" t="s">
        <v>20</v>
      </c>
      <c r="E31" s="16" t="s">
        <v>21</v>
      </c>
      <c r="F31" s="16" t="s">
        <v>20</v>
      </c>
    </row>
    <row r="32" spans="2:6" ht="16.2" thickBot="1" x14ac:dyDescent="0.35">
      <c r="B32" s="11" t="s">
        <v>3</v>
      </c>
      <c r="C32" s="1" t="s">
        <v>22</v>
      </c>
      <c r="D32" s="1" t="s">
        <v>23</v>
      </c>
      <c r="E32" s="1" t="str">
        <f>LOOKUP(C34,C34:D34)</f>
        <v>E103</v>
      </c>
      <c r="F32" s="1" t="s">
        <v>11</v>
      </c>
    </row>
    <row r="33" spans="2:6" ht="16.2" thickBot="1" x14ac:dyDescent="0.35">
      <c r="B33" s="11" t="s">
        <v>4</v>
      </c>
      <c r="C33" s="1" t="s">
        <v>25</v>
      </c>
      <c r="D33" s="1" t="s">
        <v>26</v>
      </c>
      <c r="E33" s="1" t="str">
        <f>LOOKUP(C33,C33:D33)</f>
        <v>E102</v>
      </c>
      <c r="F33" s="1" t="s">
        <v>26</v>
      </c>
    </row>
    <row r="34" spans="2:6" ht="16.2" thickBot="1" x14ac:dyDescent="0.35">
      <c r="B34" s="11" t="s">
        <v>5</v>
      </c>
      <c r="C34" s="1" t="s">
        <v>24</v>
      </c>
      <c r="D34" s="1" t="s">
        <v>11</v>
      </c>
      <c r="E34" s="17"/>
      <c r="F34" s="17"/>
    </row>
    <row r="35" spans="2:6" ht="16.2" thickBot="1" x14ac:dyDescent="0.35">
      <c r="B35" s="11" t="s">
        <v>6</v>
      </c>
      <c r="C35" s="1" t="s">
        <v>24</v>
      </c>
      <c r="D35" s="1" t="s">
        <v>27</v>
      </c>
      <c r="E35" s="17"/>
      <c r="F35" s="17"/>
    </row>
    <row r="36" spans="2:6" ht="16.2" thickBot="1" x14ac:dyDescent="0.35">
      <c r="B36" s="11" t="s">
        <v>7</v>
      </c>
      <c r="C36" s="1" t="s">
        <v>28</v>
      </c>
      <c r="D36" s="1" t="s">
        <v>29</v>
      </c>
      <c r="E36" s="17"/>
      <c r="F36" s="17"/>
    </row>
    <row r="38" spans="2:6" ht="15.6" x14ac:dyDescent="0.3">
      <c r="B38" s="4" t="s">
        <v>30</v>
      </c>
    </row>
    <row r="39" spans="2:6" ht="15" thickBot="1" x14ac:dyDescent="0.35"/>
    <row r="40" spans="2:6" ht="27" thickBot="1" x14ac:dyDescent="0.35">
      <c r="B40" s="11" t="s">
        <v>31</v>
      </c>
      <c r="C40" s="11" t="s">
        <v>32</v>
      </c>
      <c r="D40" s="19" t="s">
        <v>21</v>
      </c>
      <c r="E40" s="11">
        <v>45000</v>
      </c>
    </row>
    <row r="41" spans="2:6" ht="15" thickBot="1" x14ac:dyDescent="0.35">
      <c r="B41" s="11">
        <v>0</v>
      </c>
      <c r="C41" s="20">
        <v>0.05</v>
      </c>
      <c r="D41" s="19" t="s">
        <v>33</v>
      </c>
      <c r="E41" s="21">
        <f>VLOOKUP(45000,B41:C45,2,TRUE)</f>
        <v>0.1</v>
      </c>
    </row>
    <row r="42" spans="2:6" ht="15" thickBot="1" x14ac:dyDescent="0.35">
      <c r="B42" s="11">
        <v>20000</v>
      </c>
      <c r="C42" s="20">
        <v>0.1</v>
      </c>
      <c r="D42" s="22"/>
      <c r="E42" s="22"/>
    </row>
    <row r="43" spans="2:6" ht="15" thickBot="1" x14ac:dyDescent="0.35">
      <c r="B43" s="11">
        <v>50000</v>
      </c>
      <c r="C43" s="20">
        <v>0.15</v>
      </c>
      <c r="D43" s="22"/>
      <c r="E43" s="22"/>
    </row>
    <row r="44" spans="2:6" ht="15" thickBot="1" x14ac:dyDescent="0.35">
      <c r="B44" s="11">
        <v>80000</v>
      </c>
      <c r="C44" s="20">
        <v>0.2</v>
      </c>
      <c r="D44" s="22"/>
      <c r="E44" s="22"/>
    </row>
    <row r="45" spans="2:6" ht="15" thickBot="1" x14ac:dyDescent="0.35">
      <c r="B45" s="11">
        <v>10000</v>
      </c>
      <c r="C45" s="20">
        <v>0.3</v>
      </c>
      <c r="D45" s="22"/>
      <c r="E45" s="22"/>
    </row>
    <row r="47" spans="2:6" ht="15.6" x14ac:dyDescent="0.3">
      <c r="B47" s="4" t="s">
        <v>34</v>
      </c>
    </row>
    <row r="48" spans="2:6" ht="18" thickBot="1" x14ac:dyDescent="0.4">
      <c r="C48" s="18"/>
    </row>
    <row r="49" spans="2:6" ht="24.6" thickBot="1" x14ac:dyDescent="0.35">
      <c r="B49" s="23" t="s">
        <v>35</v>
      </c>
      <c r="C49" s="10" t="s">
        <v>36</v>
      </c>
      <c r="D49" s="23" t="s">
        <v>37</v>
      </c>
      <c r="E49" s="10" t="s">
        <v>38</v>
      </c>
    </row>
    <row r="50" spans="2:6" ht="15" thickBot="1" x14ac:dyDescent="0.35">
      <c r="B50" s="10" t="s">
        <v>39</v>
      </c>
      <c r="C50" s="10">
        <v>8</v>
      </c>
      <c r="D50" s="10">
        <v>12</v>
      </c>
      <c r="E50" s="10" t="str">
        <f>IF(C50&gt;D50,"Exceeded","OK")</f>
        <v>OK</v>
      </c>
    </row>
    <row r="51" spans="2:6" ht="15" thickBot="1" x14ac:dyDescent="0.35">
      <c r="B51" s="10" t="s">
        <v>40</v>
      </c>
      <c r="C51" s="10">
        <v>13</v>
      </c>
      <c r="D51" s="10">
        <v>12</v>
      </c>
      <c r="E51" s="10" t="str">
        <f>IF(C51&gt;D51,"Exceeded","OK")</f>
        <v>Exceeded</v>
      </c>
    </row>
    <row r="52" spans="2:6" ht="15" thickBot="1" x14ac:dyDescent="0.35">
      <c r="B52" s="10" t="s">
        <v>41</v>
      </c>
      <c r="C52" s="10">
        <v>9</v>
      </c>
      <c r="D52" s="10">
        <v>12</v>
      </c>
      <c r="E52" s="10" t="str">
        <f t="shared" ref="E52:E53" si="1">IF(C52&gt;D52,"Exceeded","OK")</f>
        <v>OK</v>
      </c>
    </row>
    <row r="53" spans="2:6" ht="15" thickBot="1" x14ac:dyDescent="0.35">
      <c r="B53" s="10" t="s">
        <v>42</v>
      </c>
      <c r="C53" s="10">
        <v>11</v>
      </c>
      <c r="D53" s="10">
        <v>12</v>
      </c>
      <c r="E53" s="10" t="str">
        <f t="shared" si="1"/>
        <v>OK</v>
      </c>
    </row>
    <row r="54" spans="2:6" ht="15" thickBot="1" x14ac:dyDescent="0.35">
      <c r="B54" s="10" t="s">
        <v>43</v>
      </c>
      <c r="C54" s="10">
        <v>15</v>
      </c>
      <c r="D54" s="10">
        <v>12</v>
      </c>
      <c r="E54" s="10" t="str">
        <f>IF(C54&gt;D54,"Exceeded","OK")</f>
        <v>Exceeded</v>
      </c>
    </row>
    <row r="56" spans="2:6" ht="16.8" x14ac:dyDescent="0.3">
      <c r="B56" s="24" t="s">
        <v>44</v>
      </c>
    </row>
    <row r="58" spans="2:6" ht="15.6" x14ac:dyDescent="0.3">
      <c r="B58" s="9" t="s">
        <v>45</v>
      </c>
      <c r="C58" s="25"/>
      <c r="D58" s="25"/>
      <c r="E58" s="25"/>
      <c r="F58" s="25"/>
    </row>
    <row r="59" spans="2:6" ht="16.2" thickBot="1" x14ac:dyDescent="0.35">
      <c r="B59" s="26"/>
      <c r="C59" s="25"/>
      <c r="D59" s="25"/>
      <c r="E59" s="25"/>
      <c r="F59" s="25"/>
    </row>
    <row r="60" spans="2:6" ht="16.2" thickBot="1" x14ac:dyDescent="0.35">
      <c r="B60" s="1" t="s">
        <v>19</v>
      </c>
      <c r="C60" s="1" t="s">
        <v>46</v>
      </c>
      <c r="D60" s="27"/>
      <c r="E60" s="27"/>
      <c r="F60" s="27"/>
    </row>
    <row r="61" spans="2:6" ht="16.2" thickBot="1" x14ac:dyDescent="0.35">
      <c r="B61" s="1" t="s">
        <v>22</v>
      </c>
      <c r="C61" s="1">
        <v>45000</v>
      </c>
      <c r="D61" s="27"/>
      <c r="E61" s="27"/>
      <c r="F61" s="27"/>
    </row>
    <row r="62" spans="2:6" ht="31.8" thickBot="1" x14ac:dyDescent="0.35">
      <c r="B62" s="1" t="s">
        <v>25</v>
      </c>
      <c r="C62" s="1">
        <v>62000</v>
      </c>
      <c r="D62" s="27"/>
      <c r="E62" s="1" t="s">
        <v>47</v>
      </c>
      <c r="F62" s="1" t="e">
        <f>INDEX(B61:B65,MATCH("E105",C61:C65,0))</f>
        <v>#N/A</v>
      </c>
    </row>
    <row r="63" spans="2:6" ht="16.2" thickBot="1" x14ac:dyDescent="0.35">
      <c r="B63" s="1" t="s">
        <v>24</v>
      </c>
      <c r="C63" s="1">
        <v>71000</v>
      </c>
      <c r="D63" s="27"/>
      <c r="E63" s="27"/>
      <c r="F63" s="27"/>
    </row>
    <row r="64" spans="2:6" ht="16.2" thickBot="1" x14ac:dyDescent="0.35">
      <c r="B64" s="1" t="s">
        <v>24</v>
      </c>
      <c r="C64" s="1">
        <v>80000</v>
      </c>
      <c r="D64" s="27"/>
      <c r="E64" s="27"/>
      <c r="F64" s="27"/>
    </row>
    <row r="65" spans="2:6" ht="16.2" thickBot="1" x14ac:dyDescent="0.35">
      <c r="B65" s="1" t="s">
        <v>28</v>
      </c>
      <c r="C65" s="1">
        <v>95000</v>
      </c>
      <c r="D65" s="27"/>
      <c r="E65" s="27"/>
      <c r="F65" s="27"/>
    </row>
    <row r="67" spans="2:6" x14ac:dyDescent="0.3">
      <c r="C67" s="32"/>
    </row>
    <row r="68" spans="2:6" ht="15.6" x14ac:dyDescent="0.3">
      <c r="B68" s="4" t="s">
        <v>48</v>
      </c>
    </row>
    <row r="69" spans="2:6" ht="15" thickBot="1" x14ac:dyDescent="0.35"/>
    <row r="70" spans="2:6" ht="17.399999999999999" thickBot="1" x14ac:dyDescent="0.35">
      <c r="B70" s="28" t="s">
        <v>49</v>
      </c>
      <c r="C70" s="30" t="s">
        <v>20</v>
      </c>
      <c r="D70" s="29"/>
      <c r="E70" s="29"/>
      <c r="F70" s="29"/>
    </row>
    <row r="71" spans="2:6" ht="17.399999999999999" thickBot="1" x14ac:dyDescent="0.35">
      <c r="B71" s="28" t="s">
        <v>50</v>
      </c>
      <c r="C71" s="28" t="s">
        <v>26</v>
      </c>
      <c r="D71" s="29"/>
      <c r="E71" s="30" t="s">
        <v>20</v>
      </c>
      <c r="F71" s="28" t="str">
        <f>_xlfn.XLOOKUP("E303",B71:B74,C71:C74)</f>
        <v>SALES</v>
      </c>
    </row>
    <row r="72" spans="2:6" ht="18.600000000000001" thickBot="1" x14ac:dyDescent="0.35">
      <c r="B72" s="28" t="s">
        <v>51</v>
      </c>
      <c r="C72" s="28" t="s">
        <v>11</v>
      </c>
      <c r="D72" s="29"/>
      <c r="E72" s="31" t="s">
        <v>51</v>
      </c>
      <c r="F72" s="29"/>
    </row>
    <row r="73" spans="2:6" ht="17.399999999999999" thickBot="1" x14ac:dyDescent="0.35">
      <c r="B73" s="28" t="s">
        <v>52</v>
      </c>
      <c r="C73" s="28" t="s">
        <v>23</v>
      </c>
      <c r="D73" s="29"/>
      <c r="E73" s="29"/>
      <c r="F73" s="29"/>
    </row>
    <row r="74" spans="2:6" ht="17.399999999999999" thickBot="1" x14ac:dyDescent="0.35">
      <c r="B74" s="28" t="s">
        <v>53</v>
      </c>
      <c r="C74" s="28" t="s">
        <v>27</v>
      </c>
      <c r="D74" s="29"/>
      <c r="E74" s="29"/>
      <c r="F74" s="29"/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 Lawrence</dc:creator>
  <cp:lastModifiedBy>Hannah Lawrence</cp:lastModifiedBy>
  <dcterms:created xsi:type="dcterms:W3CDTF">2025-12-26T20:37:29Z</dcterms:created>
  <dcterms:modified xsi:type="dcterms:W3CDTF">2025-12-27T17:30:30Z</dcterms:modified>
</cp:coreProperties>
</file>